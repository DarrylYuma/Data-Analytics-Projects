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D462BC4D-96FA-47ED-9D30-71966C85A795}" xr6:coauthVersionLast="47" xr6:coauthVersionMax="47" xr10:uidLastSave="{00000000-0000-0000-0000-000000000000}"/>
  <bookViews>
    <workbookView xWindow="-110" yWindow="-110" windowWidth="25820" windowHeight="13900" activeTab="3" xr2:uid="{00000000-000D-0000-FFFF-FFFF00000000}"/>
  </bookViews>
  <sheets>
    <sheet name="bike_buyers" sheetId="1" r:id="rId1"/>
    <sheet name="Working Sheet" sheetId="4" r:id="rId2"/>
    <sheet name="Pivot"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<sst xmlns="http://schemas.openxmlformats.org/spreadsheetml/2006/main" count="16267" uniqueCount="51">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</sst>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3E89-4ACA-8683-BD840A2C31F1}"/>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3E89-4ACA-8683-BD840A2C31F1}"/>
            </c:ext>
          </c:extLst>
        </c:ser>
        <c:dLbls>
          <c:showLegendKey val="0"/>
          <c:showVal val="0"/>
          <c:showCatName val="0"/>
          <c:showSerName val="0"/>
          <c:showPercent val="0"/>
          <c:showBubbleSize val="0"/>
        </c:dLbls>
        <c:gapWidth val="219"/>
        <c:overlap val="-27"/>
        <c:axId val="1287897392"/>
        <c:axId val="1287900272"/>
      </c:barChart>
      <c:catAx>
        <c:axId val="128789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00272"/>
        <c:crosses val="autoZero"/>
        <c:auto val="1"/>
        <c:lblAlgn val="ctr"/>
        <c:lblOffset val="100"/>
        <c:noMultiLvlLbl val="0"/>
      </c:catAx>
      <c:valAx>
        <c:axId val="128790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97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A7A-412F-B086-8BD999D197C1}"/>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A7A-412F-B086-8BD999D197C1}"/>
            </c:ext>
          </c:extLst>
        </c:ser>
        <c:dLbls>
          <c:showLegendKey val="0"/>
          <c:showVal val="0"/>
          <c:showCatName val="0"/>
          <c:showSerName val="0"/>
          <c:showPercent val="0"/>
          <c:showBubbleSize val="0"/>
        </c:dLbls>
        <c:smooth val="0"/>
        <c:axId val="1292381888"/>
        <c:axId val="1292385248"/>
      </c:lineChart>
      <c:catAx>
        <c:axId val="129238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85248"/>
        <c:crosses val="autoZero"/>
        <c:auto val="1"/>
        <c:lblAlgn val="ctr"/>
        <c:lblOffset val="100"/>
        <c:noMultiLvlLbl val="0"/>
      </c:catAx>
      <c:valAx>
        <c:axId val="129238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Adolescent</c:v>
                </c:pt>
                <c:pt idx="1">
                  <c:v>Middle Age</c:v>
                </c:pt>
                <c:pt idx="2">
                  <c:v>Old</c:v>
                </c:pt>
              </c:strCache>
            </c:strRef>
          </c:cat>
          <c:val>
            <c:numRef>
              <c:f>Pivot!$B$39:$B$42</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1BDC-43A2-851F-956987E907E7}"/>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Adolescent</c:v>
                </c:pt>
                <c:pt idx="1">
                  <c:v>Middle Age</c:v>
                </c:pt>
                <c:pt idx="2">
                  <c:v>Old</c:v>
                </c:pt>
              </c:strCache>
            </c:strRef>
          </c:cat>
          <c:val>
            <c:numRef>
              <c:f>Pivot!$C$39:$C$42</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1BDC-43A2-851F-956987E907E7}"/>
            </c:ext>
          </c:extLst>
        </c:ser>
        <c:dLbls>
          <c:showLegendKey val="0"/>
          <c:showVal val="0"/>
          <c:showCatName val="0"/>
          <c:showSerName val="0"/>
          <c:showPercent val="0"/>
          <c:showBubbleSize val="0"/>
        </c:dLbls>
        <c:marker val="1"/>
        <c:smooth val="0"/>
        <c:axId val="1411134304"/>
        <c:axId val="1411131424"/>
      </c:lineChart>
      <c:catAx>
        <c:axId val="141113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31424"/>
        <c:crosses val="autoZero"/>
        <c:auto val="1"/>
        <c:lblAlgn val="ctr"/>
        <c:lblOffset val="100"/>
        <c:noMultiLvlLbl val="0"/>
      </c:catAx>
      <c:valAx>
        <c:axId val="141113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04D4-49DB-8ABC-DA797D63C852}"/>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04D4-49DB-8ABC-DA797D63C852}"/>
            </c:ext>
          </c:extLst>
        </c:ser>
        <c:dLbls>
          <c:showLegendKey val="0"/>
          <c:showVal val="0"/>
          <c:showCatName val="0"/>
          <c:showSerName val="0"/>
          <c:showPercent val="0"/>
          <c:showBubbleSize val="0"/>
        </c:dLbls>
        <c:gapWidth val="219"/>
        <c:overlap val="-27"/>
        <c:axId val="1287897392"/>
        <c:axId val="1287900272"/>
      </c:barChart>
      <c:catAx>
        <c:axId val="128789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00272"/>
        <c:crosses val="autoZero"/>
        <c:auto val="1"/>
        <c:lblAlgn val="ctr"/>
        <c:lblOffset val="100"/>
        <c:noMultiLvlLbl val="0"/>
      </c:catAx>
      <c:valAx>
        <c:axId val="128790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97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312-495E-A8EF-C00636723857}"/>
            </c:ext>
          </c:extLst>
        </c:ser>
        <c:ser>
          <c:idx val="1"/>
          <c:order val="1"/>
          <c:tx>
            <c:strRef>
              <c:f>Pivot!$C$20:$C$21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312-495E-A8EF-C00636723857}"/>
            </c:ext>
          </c:extLst>
        </c:ser>
        <c:dLbls>
          <c:showLegendKey val="0"/>
          <c:showVal val="0"/>
          <c:showCatName val="0"/>
          <c:showSerName val="0"/>
          <c:showPercent val="0"/>
          <c:showBubbleSize val="0"/>
        </c:dLbls>
        <c:marker val="1"/>
        <c:smooth val="0"/>
        <c:axId val="1292381888"/>
        <c:axId val="1292385248"/>
      </c:lineChart>
      <c:catAx>
        <c:axId val="129238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85248"/>
        <c:crosses val="autoZero"/>
        <c:auto val="1"/>
        <c:lblAlgn val="ctr"/>
        <c:lblOffset val="100"/>
        <c:noMultiLvlLbl val="0"/>
      </c:catAx>
      <c:valAx>
        <c:axId val="129238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Adolescent</c:v>
                </c:pt>
                <c:pt idx="1">
                  <c:v>Middle Age</c:v>
                </c:pt>
                <c:pt idx="2">
                  <c:v>Old</c:v>
                </c:pt>
              </c:strCache>
            </c:strRef>
          </c:cat>
          <c:val>
            <c:numRef>
              <c:f>Pivot!$B$39:$B$42</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946C-4F1D-81C1-085427652CDA}"/>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Adolescent</c:v>
                </c:pt>
                <c:pt idx="1">
                  <c:v>Middle Age</c:v>
                </c:pt>
                <c:pt idx="2">
                  <c:v>Old</c:v>
                </c:pt>
              </c:strCache>
            </c:strRef>
          </c:cat>
          <c:val>
            <c:numRef>
              <c:f>Pivot!$C$39:$C$42</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946C-4F1D-81C1-085427652CDA}"/>
            </c:ext>
          </c:extLst>
        </c:ser>
        <c:dLbls>
          <c:showLegendKey val="0"/>
          <c:showVal val="0"/>
          <c:showCatName val="0"/>
          <c:showSerName val="0"/>
          <c:showPercent val="0"/>
          <c:showBubbleSize val="0"/>
        </c:dLbls>
        <c:marker val="1"/>
        <c:smooth val="0"/>
        <c:axId val="1411134304"/>
        <c:axId val="1411131424"/>
      </c:lineChart>
      <c:catAx>
        <c:axId val="141113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31424"/>
        <c:crosses val="autoZero"/>
        <c:auto val="1"/>
        <c:lblAlgn val="ctr"/>
        <c:lblOffset val="100"/>
        <c:noMultiLvlLbl val="0"/>
      </c:catAx>
      <c:valAx>
        <c:axId val="141113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1</xdr:row>
      <xdr:rowOff>22225</xdr:rowOff>
    </xdr:from>
    <xdr:to>
      <xdr:col>12</xdr:col>
      <xdr:colOff>323850</xdr:colOff>
      <xdr:row>16</xdr:row>
      <xdr:rowOff>3175</xdr:rowOff>
    </xdr:to>
    <xdr:graphicFrame macro="">
      <xdr:nvGraphicFramePr>
        <xdr:cNvPr id="2" name="Chart 1">
          <a:extLst>
            <a:ext uri="{FF2B5EF4-FFF2-40B4-BE49-F238E27FC236}">
              <a16:creationId xmlns:a16="http://schemas.microsoft.com/office/drawing/2014/main" id="{B444400A-7272-BF6D-312E-61DFA1830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18</xdr:row>
      <xdr:rowOff>79375</xdr:rowOff>
    </xdr:from>
    <xdr:to>
      <xdr:col>12</xdr:col>
      <xdr:colOff>311150</xdr:colOff>
      <xdr:row>33</xdr:row>
      <xdr:rowOff>60325</xdr:rowOff>
    </xdr:to>
    <xdr:graphicFrame macro="">
      <xdr:nvGraphicFramePr>
        <xdr:cNvPr id="3" name="Chart 2">
          <a:extLst>
            <a:ext uri="{FF2B5EF4-FFF2-40B4-BE49-F238E27FC236}">
              <a16:creationId xmlns:a16="http://schemas.microsoft.com/office/drawing/2014/main" id="{801536B6-CE6E-8B1E-7386-76F841374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35</xdr:row>
      <xdr:rowOff>161925</xdr:rowOff>
    </xdr:from>
    <xdr:to>
      <xdr:col>12</xdr:col>
      <xdr:colOff>317500</xdr:colOff>
      <xdr:row>50</xdr:row>
      <xdr:rowOff>142875</xdr:rowOff>
    </xdr:to>
    <xdr:graphicFrame macro="">
      <xdr:nvGraphicFramePr>
        <xdr:cNvPr id="4" name="Chart 3">
          <a:extLst>
            <a:ext uri="{FF2B5EF4-FFF2-40B4-BE49-F238E27FC236}">
              <a16:creationId xmlns:a16="http://schemas.microsoft.com/office/drawing/2014/main" id="{7CC10609-6E93-F5B2-6AB4-CF59D6E1B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6</xdr:row>
      <xdr:rowOff>10110</xdr:rowOff>
    </xdr:from>
    <xdr:to>
      <xdr:col>8</xdr:col>
      <xdr:colOff>495300</xdr:colOff>
      <xdr:row>20</xdr:row>
      <xdr:rowOff>176809</xdr:rowOff>
    </xdr:to>
    <xdr:graphicFrame macro="">
      <xdr:nvGraphicFramePr>
        <xdr:cNvPr id="2" name="Chart 1">
          <a:extLst>
            <a:ext uri="{FF2B5EF4-FFF2-40B4-BE49-F238E27FC236}">
              <a16:creationId xmlns:a16="http://schemas.microsoft.com/office/drawing/2014/main" id="{8104CAD5-4E4D-4C43-BC4E-A67A64CE8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364290</xdr:colOff>
      <xdr:row>21</xdr:row>
      <xdr:rowOff>10870</xdr:rowOff>
    </xdr:from>
    <xdr:to>
      <xdr:col>15</xdr:col>
      <xdr:colOff>2380</xdr:colOff>
      <xdr:row>35</xdr:row>
      <xdr:rowOff>175635</xdr:rowOff>
    </xdr:to>
    <xdr:graphicFrame macro="">
      <xdr:nvGraphicFramePr>
        <xdr:cNvPr id="3" name="Chart 2">
          <a:extLst>
            <a:ext uri="{FF2B5EF4-FFF2-40B4-BE49-F238E27FC236}">
              <a16:creationId xmlns:a16="http://schemas.microsoft.com/office/drawing/2014/main" id="{76155812-07D5-4A0E-AA47-41DB0E558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508000</xdr:colOff>
      <xdr:row>6</xdr:row>
      <xdr:rowOff>10110</xdr:rowOff>
    </xdr:from>
    <xdr:to>
      <xdr:col>14</xdr:col>
      <xdr:colOff>603960</xdr:colOff>
      <xdr:row>20</xdr:row>
      <xdr:rowOff>174876</xdr:rowOff>
    </xdr:to>
    <xdr:graphicFrame macro="">
      <xdr:nvGraphicFramePr>
        <xdr:cNvPr id="4" name="Chart 3">
          <a:extLst>
            <a:ext uri="{FF2B5EF4-FFF2-40B4-BE49-F238E27FC236}">
              <a16:creationId xmlns:a16="http://schemas.microsoft.com/office/drawing/2014/main" id="{E85217A1-9538-475B-AD3D-4EC94B96F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6</xdr:row>
      <xdr:rowOff>10110</xdr:rowOff>
    </xdr:from>
    <xdr:to>
      <xdr:col>2</xdr:col>
      <xdr:colOff>346076</xdr:colOff>
      <xdr:row>11</xdr:row>
      <xdr:rowOff>11698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63EEEC3-7243-3B9B-716B-BC48BCAB765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50" y="1105485"/>
              <a:ext cx="1549401" cy="914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139700</xdr:rowOff>
    </xdr:from>
    <xdr:to>
      <xdr:col>2</xdr:col>
      <xdr:colOff>347850</xdr:colOff>
      <xdr:row>27</xdr:row>
      <xdr:rowOff>19049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579D703-9163-03A4-0FE5-1540D37D73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3243263"/>
              <a:ext cx="1551175"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31750</xdr:rowOff>
    </xdr:from>
    <xdr:to>
      <xdr:col>2</xdr:col>
      <xdr:colOff>347850</xdr:colOff>
      <xdr:row>17</xdr:row>
      <xdr:rowOff>120649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32DBB0A-801B-AFD2-E14A-6772415067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039938"/>
              <a:ext cx="1551175" cy="1184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ryl" refreshedDate="46163.775808796294" createdVersion="8" refreshedVersion="8" minRefreshableVersion="3" recordCount="1000" xr:uid="{E2E40272-9DFE-4CBC-AB34-AFAC4EAED2E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2629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CB8CA-5AA1-4290-8950-A21189BD87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E1D73-5539-440A-BACC-46B79B0040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26D5F-A5E9-49ED-BC3E-A523E38C72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29D9411-F82B-4895-99D1-77442D8EA7EE}" sourceName="Marital Status">
  <pivotTables>
    <pivotTable tabId="3" name="PivotTable1"/>
    <pivotTable tabId="3" name="PivotTable2"/>
    <pivotTable tabId="3" name="PivotTable3"/>
  </pivotTables>
  <data>
    <tabular pivotCacheId="16126299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E35F42-6341-4B0F-896E-340D8A06096C}" sourceName="Education">
  <pivotTables>
    <pivotTable tabId="3" name="PivotTable1"/>
    <pivotTable tabId="3" name="PivotTable2"/>
    <pivotTable tabId="3" name="PivotTable3"/>
  </pivotTables>
  <data>
    <tabular pivotCacheId="161262995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E0A178-D0CF-4DB0-9E79-303B4EECE570}" sourceName="Region">
  <pivotTables>
    <pivotTable tabId="3" name="PivotTable1"/>
    <pivotTable tabId="3" name="PivotTable2"/>
    <pivotTable tabId="3" name="PivotTable3"/>
  </pivotTables>
  <data>
    <tabular pivotCacheId="16126299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333AEBA-F3F4-4C00-9B77-D96948AE2498}" cache="Slicer_Marital_Status" caption="Marital Status" rowHeight="241300"/>
  <slicer name="Education" xr10:uid="{D16AF22B-56AB-4217-9E69-AD806993559A}" cache="Slicer_Education" caption="Education" rowHeight="241300"/>
  <slicer name="Region" xr10:uid="{5BFAF88F-55F8-44B5-B2C2-7A8A912AC6C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7" sqref="F1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A509-D1B4-4F0A-8499-960880487AC1}">
  <dimension ref="A1:N1001"/>
  <sheetViews>
    <sheetView workbookViewId="0">
      <selection activeCell="O946" sqref="O946"/>
    </sheetView>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IF(L2&gt;54,"Old",IF(L2&gt;=30,"Middle Age", 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IF(L3&gt;54,"Old",IF(L3&gt;=30,"Middle Age", 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IF(L67&gt;54,"Old",IF(L67&gt;=30,"Middle Age", 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IF(L131&gt;54,"Old",IF(L131&gt;=30,"Middle Age", 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IF(L195&gt;54,"Old",IF(L195&gt;=30,"Middle Age", 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IF(L259&gt;54,"Old",IF(L259&gt;=30,"Middle Age", 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IF(L323&gt;54,"Old",IF(L323&gt;=30,"Middle Age", 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Middle Age</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Middle Age</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IF(L387&gt;54,"Old",IF(L387&gt;=30,"Middle Age", 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IF(L451&gt;54,"Old",IF(L451&gt;=30,"Middle Age", 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IF(L515&gt;54,"Old",IF(L515&gt;=30,"Middle Age", 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IF(L579&gt;54,"Old",IF(L579&gt;=30,"Middle Age", 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IF(L643&gt;54,"Old",IF(L643&gt;=30,"Middle Age", 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IF(L707&gt;54,"Old",IF(L707&gt;=30,"Middle Age", 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IF(L771&gt;54,"Old",IF(L771&gt;=30,"Middle Age", 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IF(L835&gt;54,"Old",IF(L835&gt;=30,"Middle Age", 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IF(L899&gt;54,"Old",IF(L899&gt;=30,"Middle Age", 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IF(L963&gt;54,"Old",IF(L963&gt;=30,"Middle Age", 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E00EA509-D1B4-4F0A-8499-960880487A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3264-D778-4FC7-BE2D-D1EB1D175709}">
  <dimension ref="A3:D42"/>
  <sheetViews>
    <sheetView topLeftCell="A22" zoomScaleNormal="100" workbookViewId="0">
      <selection activeCell="A23" sqref="A2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53440</v>
      </c>
      <c r="C5" s="3">
        <v>55774.058577405856</v>
      </c>
      <c r="D5" s="3">
        <v>54580.777096114522</v>
      </c>
    </row>
    <row r="6" spans="1:4" x14ac:dyDescent="0.35">
      <c r="A6" s="5" t="s">
        <v>38</v>
      </c>
      <c r="B6" s="3">
        <v>56208.178438661707</v>
      </c>
      <c r="C6" s="3">
        <v>60123.966942148763</v>
      </c>
      <c r="D6" s="3">
        <v>58062.62230919765</v>
      </c>
    </row>
    <row r="7" spans="1:4" x14ac:dyDescent="0.35">
      <c r="A7" s="5" t="s">
        <v>42</v>
      </c>
      <c r="B7" s="3">
        <v>54874.759152215796</v>
      </c>
      <c r="C7" s="3">
        <v>57962.577962577961</v>
      </c>
      <c r="D7" s="3">
        <v>56360</v>
      </c>
    </row>
    <row r="20" spans="1:4" x14ac:dyDescent="0.35">
      <c r="A20" s="4" t="s">
        <v>45</v>
      </c>
      <c r="B20" s="4" t="s">
        <v>44</v>
      </c>
    </row>
    <row r="21" spans="1:4" x14ac:dyDescent="0.35">
      <c r="A21" s="4" t="s">
        <v>41</v>
      </c>
      <c r="B21" t="s">
        <v>18</v>
      </c>
      <c r="C21" t="s">
        <v>15</v>
      </c>
      <c r="D21" t="s">
        <v>42</v>
      </c>
    </row>
    <row r="22" spans="1:4" x14ac:dyDescent="0.35">
      <c r="A22" s="5" t="s">
        <v>16</v>
      </c>
      <c r="B22">
        <v>166</v>
      </c>
      <c r="C22">
        <v>200</v>
      </c>
      <c r="D22">
        <v>366</v>
      </c>
    </row>
    <row r="23" spans="1:4" x14ac:dyDescent="0.35">
      <c r="A23" s="5" t="s">
        <v>26</v>
      </c>
      <c r="B23">
        <v>92</v>
      </c>
      <c r="C23">
        <v>77</v>
      </c>
      <c r="D23">
        <v>169</v>
      </c>
    </row>
    <row r="24" spans="1:4" x14ac:dyDescent="0.35">
      <c r="A24" s="5" t="s">
        <v>22</v>
      </c>
      <c r="B24">
        <v>67</v>
      </c>
      <c r="C24">
        <v>95</v>
      </c>
      <c r="D24">
        <v>162</v>
      </c>
    </row>
    <row r="25" spans="1:4" x14ac:dyDescent="0.35">
      <c r="A25" s="5" t="s">
        <v>23</v>
      </c>
      <c r="B25">
        <v>116</v>
      </c>
      <c r="C25">
        <v>76</v>
      </c>
      <c r="D25">
        <v>192</v>
      </c>
    </row>
    <row r="26" spans="1:4" x14ac:dyDescent="0.35">
      <c r="A26" s="5" t="s">
        <v>46</v>
      </c>
      <c r="B26">
        <v>78</v>
      </c>
      <c r="C26">
        <v>33</v>
      </c>
      <c r="D26">
        <v>111</v>
      </c>
    </row>
    <row r="27" spans="1:4" x14ac:dyDescent="0.35">
      <c r="A27" s="5" t="s">
        <v>42</v>
      </c>
      <c r="B27">
        <v>519</v>
      </c>
      <c r="C27">
        <v>481</v>
      </c>
      <c r="D27">
        <v>1000</v>
      </c>
    </row>
    <row r="37" spans="1:4" x14ac:dyDescent="0.35">
      <c r="A37" s="4" t="s">
        <v>45</v>
      </c>
      <c r="B37" s="4" t="s">
        <v>44</v>
      </c>
    </row>
    <row r="38" spans="1:4" x14ac:dyDescent="0.35">
      <c r="A38" s="4" t="s">
        <v>41</v>
      </c>
      <c r="B38" t="s">
        <v>18</v>
      </c>
      <c r="C38" t="s">
        <v>15</v>
      </c>
      <c r="D38" t="s">
        <v>42</v>
      </c>
    </row>
    <row r="39" spans="1:4" x14ac:dyDescent="0.35">
      <c r="A39" s="5" t="s">
        <v>47</v>
      </c>
      <c r="B39">
        <v>48</v>
      </c>
      <c r="C39">
        <v>35</v>
      </c>
      <c r="D39">
        <v>83</v>
      </c>
    </row>
    <row r="40" spans="1:4" x14ac:dyDescent="0.35">
      <c r="A40" s="5" t="s">
        <v>48</v>
      </c>
      <c r="B40">
        <v>341</v>
      </c>
      <c r="C40">
        <v>387</v>
      </c>
      <c r="D40">
        <v>728</v>
      </c>
    </row>
    <row r="41" spans="1:4" x14ac:dyDescent="0.35">
      <c r="A41" s="5" t="s">
        <v>49</v>
      </c>
      <c r="B41">
        <v>130</v>
      </c>
      <c r="C41">
        <v>59</v>
      </c>
      <c r="D41">
        <v>189</v>
      </c>
    </row>
    <row r="42" spans="1:4" x14ac:dyDescent="0.35">
      <c r="A42" s="5" t="s">
        <v>42</v>
      </c>
      <c r="B42">
        <v>519</v>
      </c>
      <c r="C42">
        <v>481</v>
      </c>
      <c r="D42">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5E34-B2FC-4B3E-8C81-A2A4280D9EFB}">
  <dimension ref="A1:O6"/>
  <sheetViews>
    <sheetView showGridLines="0" tabSelected="1" zoomScale="80" zoomScaleNormal="80" workbookViewId="0">
      <selection activeCell="R9" sqref="R9"/>
    </sheetView>
  </sheetViews>
  <sheetFormatPr defaultRowHeight="14.5" x14ac:dyDescent="0.35"/>
  <sheetData>
    <row r="1" spans="1:15" x14ac:dyDescent="0.35">
      <c r="A1" s="6" t="s">
        <v>50</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Darryl</cp:lastModifiedBy>
  <dcterms:created xsi:type="dcterms:W3CDTF">2022-03-18T02:50:57Z</dcterms:created>
  <dcterms:modified xsi:type="dcterms:W3CDTF">2026-05-21T15:19:06Z</dcterms:modified>
</cp:coreProperties>
</file>